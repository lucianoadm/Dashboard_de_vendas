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82bd56c5f7a492/Documentos/"/>
    </mc:Choice>
  </mc:AlternateContent>
  <xr:revisionPtr revIDLastSave="178" documentId="8_{0AAF82A2-679F-4714-954F-1DC7D610B954}" xr6:coauthVersionLast="47" xr6:coauthVersionMax="47" xr10:uidLastSave="{3BB52AA2-4BD9-4DC8-A2F8-F7186A30D61B}"/>
  <bookViews>
    <workbookView xWindow="-120" yWindow="-120" windowWidth="2064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F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tc={56E76DBA-7E9C-4A70-8136-049ED471D783}</author>
  </authors>
  <commentList>
    <comment ref="C3" authorId="0" shapeId="0" xr:uid="{56E76DBA-7E9C-4A70-8136-049ED471D78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Uma Pergunta de Negócio é um questionamento estratégico que busca resolver um problema específico ou identificar oportunidades dentro de uma empresa utilizando dados [1]. Ela funciona como a "bússola" para qualquer análise: sem uma boa pergunta, os dados são apenas números sem contexto [2]. 
Aqui estão os pilares do que define uma boa pergunta de negócio:
Foco na Ação: Ela não busca apenas saber "o que aconteceu", mas sim "por que aconteceu" e "o que podemos fazer a respeito" [3].
Clareza e Especificidade: Em vez de "Como vender mais?", uma pergunta de negócio seria "Quais canais de marketing trazem o maior Retorno sobre Investimento (ROI) para o produto X no Nordeste?" [1, 2].
Vinculação a Metas: Deve estar diretamente ligada aos Indicadores Chave de Desempenho (KPIs) da empresa, como redução de custos, aumento de lucro ou retenção de clientes [2, 3].
Exemplos práticos:
Marketing: "Qual é o perfil dos clientes que cancelaram a assinatura nos últimos 3 meses?"
Vendas: "Qual o impacto do desconto de 10% na margem de lucro final do trimestre?"
Logística: "Quais rotas de entrega apresentam os maiores índices de atraso e por quê?"
</t>
      </text>
    </comment>
  </commentList>
</comments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<sst xmlns="http://schemas.openxmlformats.org/spreadsheetml/2006/main" count="2022" uniqueCount="324">
  <si>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</si>
  <si>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</si>
  <si>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</si>
  <si>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</si>
  <si>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</si>
  <si>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</si>
  <si>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</si>
  <si>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</si>
  <si>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</si>
  <si>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</si>
  <si>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</si>
  <si>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</si>
  <si>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</si>
  <si>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</si>
  <si>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</si>
  <si>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</si>
  <si>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</si>
  <si>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</si>
  <si>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</si>
  <si>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</si>
  <si>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</si>
  <si>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</si>
  <si>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</si>
  <si>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</si>
  <si>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</si>
  <si>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</si>
  <si>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</si>
  <si>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</si>
  <si>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</si>
  <si>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</si>
  <si>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</si>
  <si>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</si>
  <si>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</si>
  <si>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</si>
  <si>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</si>
  <si>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</si>
  <si>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</si>
  <si>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</si>
  <si>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</si>
  <si>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</si>
  <si>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</si>
  <si>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</si>
  <si>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</si>
  <si>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</si>
  <si>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</si>
  <si>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</si>
  <si>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</si>
  <si>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</si>
  <si>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</si>
  <si>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</si>
  <si>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</si>
  <si>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</si>
  <si>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</si>
  <si>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</si>
  <si>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</si>
  <si>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</si>
  <si>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</si>
  <si>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</si>
  <si>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</si>
  <si>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</si>
  <si>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</si>
  <si>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</si>
  <si>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</si>
  <si>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</si>
  <si>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</si>
  <si>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</si>
  <si>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</si>
  <si>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</si>
  <si>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</si>
  <si>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</si>
  <si>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</si>
  <si>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</si>
  <si>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</si>
  <si>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</si>
  <si>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</si>
  <si>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</si>
  <si>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</si>
  <si>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</si>
  <si>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</si>
  <si>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</si>
  <si>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</si>
  <si>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</si>
  <si>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</si>
  <si>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</si>
  <si>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</si>
  <si>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</si>
  <si>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</si>
  <si>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</si>
  <si>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</si>
  <si>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</si>
  <si>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</si>
  <si>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</si>
  <si>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</si>
  <si>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</si>
  <si>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</si>
  <si>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</si>
  <si>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</si>
  <si>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</si>
  <si>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</si>
  <si>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</si>
  <si>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</si>
  <si>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</si>
  <si>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</si>
  <si>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</si>
  <si>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</si>
  <si>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</si>
  <si>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</si>
  <si>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</si>
  <si>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</si>
  <si>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</si>
  <si>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</si>
  <si>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</si>
  <si>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</si>
  <si>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</si>
  <si>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</si>
  <si>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</si>
  <si>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</si>
  <si>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</si>
  <si>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</si>
  <si>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</si>
  <si>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</si>
  <si>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</si>
  <si>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</si>
  <si>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</si>
  <si>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</si>
  <si>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</si>
  <si>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</si>
  <si>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</si>
  <si>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</si>
  <si>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</si>
  <si>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</si>
  <si>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</si>
  <si>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</si>
  <si>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</si>
  <si>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</si>
  <si>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</si>
  <si>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</si>
  <si>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</si>
  <si>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</si>
  <si>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</si>
  <si>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</si>
  <si>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</si>
  <si>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</si>
  <si>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</si>
  <si>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</si>
  <si>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</si>
  <si>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</si>
  <si>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</si>
  <si>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</si>
  <si>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</si>
  <si>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</si>
  <si>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</si>
  <si>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</si>
  <si>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</si>
  <si>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</si>
  <si>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</si>
  <si>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</si>
  <si>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</si>
  <si>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</si>
  <si>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</si>
  <si>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</si>
  <si>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</si>
  <si>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</si>
  <si>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</si>
  <si>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</si>
  <si>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</si>
  <si>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</si>
  <si>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</si>
  <si>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</si>
  <si>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</si>
  <si>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</si>
  <si>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</si>
  <si>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</si>
  <si>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</si>
  <si>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</si>
  <si>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</si>
  <si>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</si>
  <si>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</si>
  <si>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</si>
  <si>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</si>
  <si>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</si>
  <si>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</si>
  <si>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</si>
  <si>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</si>
  <si>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</si>
  <si>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</si>
  <si>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</si>
  <si>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</si>
  <si>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</si>
  <si>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</si>
  <si>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</si>
  <si>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</si>
  <si>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</si>
  <si>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</si>
  <si>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</si>
  <si>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</si>
  <si>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</si>
  <si>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</si>
  <si>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</si>
  <si>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</si>
  <si>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</si>
  <si>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</si>
  <si>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</si>
  <si>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</si>
  <si>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</si>
  <si>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</si>
  <si>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</si>
  <si>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</si>
  <si>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</si>
  <si>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</si>
  <si>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</si>
  <si>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</si>
  <si>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</si>
  <si>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</si>
  <si>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</si>
  <si>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</si>
  <si>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</si>
  <si>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</si>
  <si>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</si>
  <si>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</si>
  <si>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</si>
  <si>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</si>
  <si>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</si>
  <si>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</si>
  <si>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</si>
  <si>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</si>
  <si>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</si>
  <si>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</si>
  <si>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</si>
  <si>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</si>
  <si>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</si>
  <si>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</si>
  <si>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</si>
  <si>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</si>
  <si>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</si>
  <si>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</si>
  <si>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</si>
  <si>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</si>
  <si>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</si>
  <si>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</si>
  <si>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</si>
  <si>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</si>
  <si>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</si>
  <si>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</si>
  <si>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</si>
  <si>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</si>
  <si>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</si>
  <si>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</si>
  <si>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</si>
  <si>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</si>
  <si>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</si>
  <si>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</si>
  <si>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</si>
  <si>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</si>
  <si>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</si>
  <si>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</si>
  <si>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</si>
  <si>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</si>
  <si>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</si>
  <si>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</si>
  <si>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</si>
  <si>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</si>
  <si>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</si>
  <si>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</si>
  <si>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</si>
  <si>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</si>
  <si>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</si>
  <si>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</si>
  <si>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</si>
  <si>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</si>
  <si>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</si>
  <si>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</si>
  <si>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</si>
  <si>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</si>
  <si>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</si>
  <si>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</si>
  <si>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</si>
  <si>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</si>
  <si>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</si>
  <si>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</si>
  <si>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</si>
  <si>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</si>
  <si>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</si>
  <si>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</si>
  <si>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</si>
  <si>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</si>
  <si>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</si>
  <si>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</si>
  <si>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</si>
  <si>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</si>
  <si>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</si>
  <si>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</si>
  <si>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</si>
  <si>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</si>
  <si>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</si>
  <si>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</si>
  <si>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</si>
  <si>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</si>
  <si>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</si>
  <si>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</si>
  <si>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</si>
  <si>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</si>
  <si>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</si>
  <si>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</si>
  <si>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</si>
  <si>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</si>
  <si>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</si>
  <si>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</si>
  <si>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</si>
  <si>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</si>
  <si>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</si>
  <si>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</si>
  <si>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</si>
  <si>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Negócio.</t>
  </si>
  <si>
    <t>Rótulos de Linha</t>
  </si>
  <si>
    <t>Total Geral</t>
  </si>
  <si>
    <t>Soma de Total Value</t>
  </si>
  <si>
    <t>1. Qual o faturamento total de vendas de planos anuais. (contendo todas as assinaturas digitais)</t>
  </si>
  <si>
    <t>2. Qual o faturamento total de vendas de planos anuais. Planos renovados e não renovados</t>
  </si>
  <si>
    <t>Xbox game pass subscription sales.</t>
  </si>
  <si>
    <t>Soma de EA Play Season Pass</t>
  </si>
  <si>
    <t>3. Qual o total de vendas de assinatura EA Play?</t>
  </si>
  <si>
    <t>4. Qual o total de vendas de assinatura Minecraft?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</si>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</sst>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2" xfId="1" applyBorder="1"/>
    <xf numFmtId="0" fontId="0" fillId="0" borderId="0" xfId="0" applyNumberFormat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0">
    <dxf>
      <font>
        <b/>
        <i val="0"/>
        <color rgb="FFF7F8FC"/>
      </font>
    </dxf>
    <dxf>
      <fill>
        <patternFill>
          <bgColor rgb="FF22C55E"/>
        </patternFill>
      </fill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rgb="FF22C55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6" defaultTableStyle="TableStyleMedium2" defaultPivotStyle="PivotStyleLight16">
    <tableStyle name="Estilo de Segmentação de Dados 1" pivot="0" table="0" count="1" xr9:uid="{4485A2D8-C845-45D3-9EDF-F22C45AD958B}">
      <tableStyleElement type="wholeTable" dxfId="5"/>
    </tableStyle>
    <tableStyle name="Estilo de Segmentação de Dados 2" pivot="0" table="0" count="1" xr9:uid="{7C6B4521-C392-44E0-82FE-D1D8A77CBB6F}">
      <tableStyleElement type="wholeTable" dxfId="4"/>
    </tableStyle>
    <tableStyle name="Estilo de Segmentação de Dados 3" pivot="0" table="0" count="4" xr9:uid="{90DDEB5E-C68E-46B0-A167-D87D76ADE860}">
      <tableStyleElement type="wholeTable" dxfId="1"/>
      <tableStyleElement type="headerRow" dxfId="0"/>
    </tableStyle>
    <tableStyle name="Estilo de Segmentação de Dados 4" pivot="0" table="0" count="2" xr9:uid="{E844B8D9-94EB-4E61-91B7-F6BB65A5DE72}"/>
    <tableStyle name="Invisible" pivot="0" table="0" count="0" xr9:uid="{6862F739-5406-46A9-9D4B-19681CEB0B47}"/>
    <tableStyle name="SlicerStyleLight6 2" pivot="0" table="0" count="10" xr9:uid="{672E55F4-2743-481D-8821-E5184E448091}">
      <tableStyleElement type="wholeTable" dxfId="3"/>
      <tableStyleElement type="headerRow" dxfId="2"/>
    </tableStyle>
  </tableStyles>
  <colors>
    <mruColors>
      <color rgb="FF22C55E"/>
      <color rgb="FF5BF6A8"/>
      <color rgb="FFF7F8FC"/>
      <color rgb="FFE8E6E9"/>
      <color rgb="FF000000"/>
      <color rgb="FFE0E0E0"/>
      <color rgb="FFEDEDED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1">
        <dxf>
          <fill>
            <patternFill patternType="none">
              <bgColor auto="1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9" tint="0.59996337778862885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selectedItemWithData" dxfId="2"/>
            <x14:slicerStyleElement type="selectedItemWithNoData" dxfId="1"/>
          </x14:slicerStyleElements>
        </x14:slicerStyle>
        <x14:slicerStyle name="Estilo de Segmentação de Dados 4">
          <x14:slicerStyleElements>
            <x14:slicerStyleElement type="selectedItemWithNoData" dxfId="0"/>
          </x14:slicerStyleElements>
        </x14:slicerStyle>
        <x14:slicerStyle name="SlicerStyleLight6 2">
          <x14:slicerStyleElements>
            <x14:slicerStyleElement type="unselectedItemWithData" dxfId="10"/>
            <x14:slicerStyleElement type="unselectedItemWithNoData" dxfId="9"/>
            <x14:slicerStyleElement type="selectedItemWithData" dxfId="8"/>
            <x14:slicerStyleElement type="selectedItemWithNoData" dxfId="7"/>
            <x14:slicerStyleElement type="hoveredUnselectedItemWithData" dxfId="6"/>
            <x14:slicerStyleElement type="hoveredSelectedItemWithData" dxfId="5"/>
            <x14:slicerStyleElement type="hoveredUnselectedItemWithNoData" dxfId="4"/>
            <x14:slicerStyleElement type="hoveredSelectedItemWithNoData" dxfId="3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[Dashboard_vendas_projeto_3_DIO.xlsx]C̳álculos!Tabela dinâmica1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3-4394-BD8F-0920AD97F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754600"/>
        <c:axId val="414753520"/>
      </c:barChart>
      <c:catAx>
        <c:axId val="414754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753520"/>
        <c:crosses val="autoZero"/>
        <c:auto val="1"/>
        <c:lblAlgn val="ctr"/>
        <c:lblOffset val="100"/>
        <c:noMultiLvlLbl val="0"/>
      </c:catAx>
      <c:valAx>
        <c:axId val="4147535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4754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23</xdr:row>
      <xdr:rowOff>114300</xdr:rowOff>
    </xdr:from>
    <xdr:to>
      <xdr:col>3</xdr:col>
      <xdr:colOff>57150</xdr:colOff>
      <xdr:row>26</xdr:row>
      <xdr:rowOff>104776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781" b="28125"/>
        <a:stretch>
          <a:fillRect/>
        </a:stretch>
      </xdr:blipFill>
      <xdr:spPr>
        <a:xfrm>
          <a:off x="666750" y="4648200"/>
          <a:ext cx="1219200" cy="561976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43407</xdr:colOff>
      <xdr:row>0</xdr:row>
      <xdr:rowOff>78474</xdr:rowOff>
    </xdr:from>
    <xdr:to>
      <xdr:col>1</xdr:col>
      <xdr:colOff>583407</xdr:colOff>
      <xdr:row>2</xdr:row>
      <xdr:rowOff>142877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E1EABF-DB17-4344-95E1-F3E3C8BF3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4" t="23295" r="73597" b="25457"/>
        <a:stretch>
          <a:fillRect/>
        </a:stretch>
      </xdr:blipFill>
      <xdr:spPr>
        <a:xfrm>
          <a:off x="1865063" y="78474"/>
          <a:ext cx="540000" cy="552559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11907</xdr:colOff>
      <xdr:row>5</xdr:row>
      <xdr:rowOff>150019</xdr:rowOff>
    </xdr:from>
    <xdr:to>
      <xdr:col>0</xdr:col>
      <xdr:colOff>1802607</xdr:colOff>
      <xdr:row>12</xdr:row>
      <xdr:rowOff>140494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059D663-83EA-4FDA-9048-EF866ECFA8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7" y="1221582"/>
              <a:ext cx="179070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178595</xdr:colOff>
      <xdr:row>4</xdr:row>
      <xdr:rowOff>59997</xdr:rowOff>
    </xdr:from>
    <xdr:to>
      <xdr:col>8</xdr:col>
      <xdr:colOff>583406</xdr:colOff>
      <xdr:row>10</xdr:row>
      <xdr:rowOff>122166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293CD4B8-1BB5-2A42-A209-7B3BA0FFF406}"/>
            </a:ext>
          </a:extLst>
        </xdr:cNvPr>
        <xdr:cNvGrpSpPr/>
      </xdr:nvGrpSpPr>
      <xdr:grpSpPr>
        <a:xfrm>
          <a:off x="2000251" y="941060"/>
          <a:ext cx="4667249" cy="1205169"/>
          <a:chOff x="2178844" y="964406"/>
          <a:chExt cx="4071937" cy="91678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10DA307-E214-9E6F-0543-BDBA52B312A7}"/>
              </a:ext>
            </a:extLst>
          </xdr:cNvPr>
          <xdr:cNvSpPr/>
        </xdr:nvSpPr>
        <xdr:spPr>
          <a:xfrm>
            <a:off x="2178844" y="964406"/>
            <a:ext cx="4071937" cy="916781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7DCC951-3B19-4A3D-9868-7FECCDE29C3A}"/>
              </a:ext>
            </a:extLst>
          </xdr:cNvPr>
          <xdr:cNvSpPr/>
        </xdr:nvSpPr>
        <xdr:spPr>
          <a:xfrm>
            <a:off x="3738563" y="1309687"/>
            <a:ext cx="2152650" cy="5334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7DF048B-D21A-4419-8353-49900DE9F7FA}" type="TxLink">
              <a:rPr lang="en-US" sz="24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24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8CA9386-1A5F-4939-96F8-935AE9B96D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5781" b="28125"/>
          <a:stretch>
            <a:fillRect/>
          </a:stretch>
        </xdr:blipFill>
        <xdr:spPr>
          <a:xfrm>
            <a:off x="2440782" y="1285876"/>
            <a:ext cx="1219200" cy="561976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B0E6E018-1A87-477D-09D5-2DD73D31F895}"/>
              </a:ext>
            </a:extLst>
          </xdr:cNvPr>
          <xdr:cNvSpPr/>
        </xdr:nvSpPr>
        <xdr:spPr>
          <a:xfrm>
            <a:off x="2178844" y="976312"/>
            <a:ext cx="4060031" cy="35718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EA  Play season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595312</xdr:colOff>
      <xdr:row>4</xdr:row>
      <xdr:rowOff>59530</xdr:rowOff>
    </xdr:from>
    <xdr:to>
      <xdr:col>17</xdr:col>
      <xdr:colOff>571499</xdr:colOff>
      <xdr:row>10</xdr:row>
      <xdr:rowOff>121699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EA9E3E04-A008-E381-2ED1-FD2250AA0B7F}"/>
            </a:ext>
          </a:extLst>
        </xdr:cNvPr>
        <xdr:cNvGrpSpPr/>
      </xdr:nvGrpSpPr>
      <xdr:grpSpPr>
        <a:xfrm>
          <a:off x="7286625" y="940593"/>
          <a:ext cx="4667249" cy="1205169"/>
          <a:chOff x="7286625" y="765483"/>
          <a:chExt cx="4667249" cy="1205169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B1B9FFA-9CCD-436E-9935-7CAF5B21B923}"/>
              </a:ext>
            </a:extLst>
          </xdr:cNvPr>
          <xdr:cNvGrpSpPr/>
        </xdr:nvGrpSpPr>
        <xdr:grpSpPr>
          <a:xfrm>
            <a:off x="7286625" y="765483"/>
            <a:ext cx="4667249" cy="1205169"/>
            <a:chOff x="2178844" y="964406"/>
            <a:chExt cx="4071937" cy="916781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53695F7F-B1EE-92D9-065E-608F08735CDE}"/>
                </a:ext>
              </a:extLst>
            </xdr:cNvPr>
            <xdr:cNvSpPr/>
          </xdr:nvSpPr>
          <xdr:spPr>
            <a:xfrm>
              <a:off x="2178844" y="964406"/>
              <a:ext cx="4071937" cy="916781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4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2FCD481-ADA4-6660-D2C5-F1DB934559BB}"/>
                </a:ext>
              </a:extLst>
            </xdr:cNvPr>
            <xdr:cNvSpPr/>
          </xdr:nvSpPr>
          <xdr:spPr>
            <a:xfrm>
              <a:off x="3738563" y="1309687"/>
              <a:ext cx="2152650" cy="5334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DF048B-D21A-4419-8353-49900DE9F7FA}" type="TxLink">
                <a:rPr lang="en-US" sz="24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R$ 1.350,00</a:t>
              </a:fld>
              <a:endParaRPr lang="pt-BR" sz="24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6A138058-8FD3-9DC6-EC26-5586DE849D67}"/>
                </a:ext>
              </a:extLst>
            </xdr:cNvPr>
            <xdr:cNvSpPr/>
          </xdr:nvSpPr>
          <xdr:spPr>
            <a:xfrm>
              <a:off x="2178844" y="976312"/>
              <a:ext cx="4060031" cy="35718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</a:t>
              </a:r>
              <a:r>
                <a:rPr lang="pt-BR" sz="16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6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360CB3D-6409-444B-9A4F-5CD9D6E3A2DE}"/>
              </a:ext>
            </a:extLst>
          </xdr:cNvPr>
          <xdr:cNvGrpSpPr/>
        </xdr:nvGrpSpPr>
        <xdr:grpSpPr>
          <a:xfrm>
            <a:off x="7692751" y="1273967"/>
            <a:ext cx="1260750" cy="646599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7362E84D-A27C-C25A-2E05-CDB562429C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C3526F75-405A-9781-AAA1-DDE8D107EE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178595</xdr:colOff>
      <xdr:row>11</xdr:row>
      <xdr:rowOff>47624</xdr:rowOff>
    </xdr:from>
    <xdr:to>
      <xdr:col>17</xdr:col>
      <xdr:colOff>557852</xdr:colOff>
      <xdr:row>26</xdr:row>
      <xdr:rowOff>23811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E061D344-E46C-04C6-72DB-B2800A1FBB6A}"/>
            </a:ext>
          </a:extLst>
        </xdr:cNvPr>
        <xdr:cNvGrpSpPr/>
      </xdr:nvGrpSpPr>
      <xdr:grpSpPr>
        <a:xfrm>
          <a:off x="2000251" y="2262187"/>
          <a:ext cx="9939976" cy="2833687"/>
          <a:chOff x="2000251" y="2107406"/>
          <a:chExt cx="9939976" cy="283368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4DBA1A6-110A-BA8C-1B16-56AD583B0C45}"/>
              </a:ext>
            </a:extLst>
          </xdr:cNvPr>
          <xdr:cNvGrpSpPr/>
        </xdr:nvGrpSpPr>
        <xdr:grpSpPr>
          <a:xfrm>
            <a:off x="2000251" y="2107406"/>
            <a:ext cx="9939976" cy="2833687"/>
            <a:chOff x="4167187" y="476250"/>
            <a:chExt cx="4667250" cy="2833687"/>
          </a:xfrm>
        </xdr:grpSpPr>
        <xdr:sp macro="" textlink="">
          <xdr:nvSpPr>
            <xdr:cNvPr id="5" name="Retângulo 4">
              <a:extLst>
                <a:ext uri="{FF2B5EF4-FFF2-40B4-BE49-F238E27FC236}">
                  <a16:creationId xmlns:a16="http://schemas.microsoft.com/office/drawing/2014/main" id="{9C4C1B55-C908-BF84-623A-8D846C58FF7A}"/>
                </a:ext>
              </a:extLst>
            </xdr:cNvPr>
            <xdr:cNvSpPr/>
          </xdr:nvSpPr>
          <xdr:spPr>
            <a:xfrm>
              <a:off x="4167187" y="476250"/>
              <a:ext cx="4667250" cy="283368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623F8F6-5DD4-4AC1-B68B-F25A8CC060AE}"/>
                </a:ext>
              </a:extLst>
            </xdr:cNvPr>
            <xdr:cNvGraphicFramePr>
              <a:graphicFrameLocks/>
            </xdr:cNvGraphicFramePr>
          </xdr:nvGraphicFramePr>
          <xdr:xfrm>
            <a:off x="4198144" y="511969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0331D5FF-0DA7-44DB-AF53-9147441B6DBE}"/>
              </a:ext>
            </a:extLst>
          </xdr:cNvPr>
          <xdr:cNvSpPr/>
        </xdr:nvSpPr>
        <xdr:spPr>
          <a:xfrm>
            <a:off x="2000251" y="2114114"/>
            <a:ext cx="9939976" cy="46954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142872</xdr:colOff>
      <xdr:row>0</xdr:row>
      <xdr:rowOff>138113</xdr:rowOff>
    </xdr:from>
    <xdr:to>
      <xdr:col>0</xdr:col>
      <xdr:colOff>838197</xdr:colOff>
      <xdr:row>3</xdr:row>
      <xdr:rowOff>142875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94035DBA-4BE5-4A4E-9C19-CD7B64988E45}"/>
            </a:ext>
          </a:extLst>
        </xdr:cNvPr>
        <xdr:cNvSpPr/>
      </xdr:nvSpPr>
      <xdr:spPr>
        <a:xfrm>
          <a:off x="142872" y="13811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127013</xdr:colOff>
      <xdr:row>3</xdr:row>
      <xdr:rowOff>112958</xdr:rowOff>
    </xdr:from>
    <xdr:ext cx="1493166" cy="279948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E38D8F8-2FB9-4B1E-3BB0-11EAC08A19A1}"/>
            </a:ext>
          </a:extLst>
        </xdr:cNvPr>
        <xdr:cNvSpPr txBox="1"/>
      </xdr:nvSpPr>
      <xdr:spPr>
        <a:xfrm>
          <a:off x="127013" y="803521"/>
          <a:ext cx="1493166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 vinda: Elaine</a:t>
          </a:r>
        </a:p>
      </xdr:txBody>
    </xdr:sp>
    <xdr:clientData/>
  </xdr:oneCellAnchor>
  <xdr:oneCellAnchor>
    <xdr:from>
      <xdr:col>1</xdr:col>
      <xdr:colOff>0</xdr:colOff>
      <xdr:row>2</xdr:row>
      <xdr:rowOff>200268</xdr:rowOff>
    </xdr:from>
    <xdr:ext cx="4515210" cy="243272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676DC352-0B7E-8067-52AB-88E377EAB6C2}"/>
            </a:ext>
          </a:extLst>
        </xdr:cNvPr>
        <xdr:cNvSpPr txBox="1"/>
      </xdr:nvSpPr>
      <xdr:spPr>
        <a:xfrm>
          <a:off x="1821656" y="688424"/>
          <a:ext cx="4515210" cy="243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tx1">
                  <a:lumMod val="65000"/>
                  <a:lumOff val="35000"/>
                </a:schemeClr>
              </a:solidFill>
              <a:latin typeface="Abadi" panose="020B0604020104020204" pitchFamily="34" charset="0"/>
            </a:rPr>
            <a:t>Calculation</a:t>
          </a:r>
          <a:r>
            <a:rPr lang="pt-BR" sz="1100" baseline="0">
              <a:solidFill>
                <a:schemeClr val="tx1">
                  <a:lumMod val="65000"/>
                  <a:lumOff val="35000"/>
                </a:schemeClr>
              </a:solidFill>
              <a:latin typeface="Abadi" panose="020B0604020104020204" pitchFamily="34" charset="0"/>
            </a:rPr>
            <a:t> period: 01/01/2024 / Update date: 02/14/2026 10:00 pm.</a:t>
          </a:r>
          <a:endParaRPr lang="pt-BR" sz="1100">
            <a:solidFill>
              <a:schemeClr val="tx1">
                <a:lumMod val="65000"/>
                <a:lumOff val="35000"/>
              </a:schemeClr>
            </a:solidFill>
            <a:latin typeface="Abadi" panose="020B0604020104020204" pitchFamily="34" charset="0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ciano Paiva" id="{46D7F3DB-C0B9-49FE-A304-1474EBD4E5AC}" userId="7182bd56c5f7a492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" refreshedDate="46067.875132986112" createdVersion="8" refreshedVersion="8" minRefreshableVersion="3" recordCount="295" xr:uid="{B0E77433-6A07-4812-B254-44A5416EC4A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94777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69699-4F50-4526-AD02-84C884A23CB6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31:D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46E3B-78E8-4432-A76D-3E550AFAB1C6}" name="Tab_EAplay_season_pass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0:D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FDF60-374C-4268-91E1-0CBB66595367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0:D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F26429F-C6D2-458D-AC24-399D0378BF09}" sourceName="Subscription Type">
  <pivotTables>
    <pivotTable tabId="3" name="Tabela dinâmica1"/>
    <pivotTable tabId="3" name="Tab_EAplay_season_pass"/>
    <pivotTable tabId="3" name="Tabela dinâmica3"/>
  </pivotTables>
  <data>
    <tabular pivotCacheId="109477751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7642C6E-AA4D-4BC1-B561-60422D0DEC97}" cache="SegmentaçãodeDados_Subscription_Type" caption="Subscription Type" style="Estilo de Segmentação de Dados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2">
      <filters>
        <filter val="Ultimate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2-14T21:13:38.21" personId="{46D7F3DB-C0B9-49FE-A304-1474EBD4E5AC}" id="{56E76DBA-7E9C-4A70-8136-049ED471D783}">
    <text xml:space="preserve">Uma Pergunta de Negócio é um questionamento estratégico que busca resolver um problema específico ou identificar oportunidades dentro de uma empresa utilizando dados [1]. Ela funciona como a "bússola" para qualquer análise: sem uma boa pergunta, os dados são apenas números sem contexto [2]. 
Aqui estão os pilares do que define uma boa pergunta de negócio:
Foco na Ação: Ela não busca apenas saber "o que aconteceu", mas sim "por que aconteceu" e "o que podemos fazer a respeito" [3].
Clareza e Especificidade: Em vez de "Como vender mais?", uma pergunta de negócio seria "Quais canais de marketing trazem o maior Retorno sobre Investimento (ROI) para o produto X no Nordeste?" [1, 2].
Vinculação a Metas: Deve estar diretamente ligada aos Indicadores Chave de Desempenho (KPIs) da empresa, como redução de custos, aumento de lucro ou retenção de clientes [2, 3].
Exemplos práticos:
Marketing: "Qual é o perfil dos clientes que cancelaram a assinatura nos últimos 3 meses?"
Vendas: "Qual o impacto do desconto de 10% na margem de lucro final do trimestre?"
Logística: "Quais rotas de entrega apresentam os maiores índices de atraso e por quê?"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7/10/relationships/threadedComment" Target="../threadedComments/threadedComment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G28" sqref="G2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29" zoomScale="90" zoomScaleNormal="90" workbookViewId="0">
      <selection activeCell="G28" sqref="G2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3:F35"/>
  <sheetViews>
    <sheetView showGridLines="0" topLeftCell="A16" workbookViewId="0">
      <selection activeCell="G28" sqref="G28"/>
    </sheetView>
  </sheetViews>
  <sheetFormatPr defaultRowHeight="15" x14ac:dyDescent="0.25"/>
  <cols>
    <col min="3" max="3" width="18.42578125" bestFit="1" customWidth="1"/>
    <col min="4" max="5" width="35.140625" bestFit="1" customWidth="1"/>
    <col min="6" max="6" width="9.140625" bestFit="1" customWidth="1"/>
    <col min="7" max="18" width="9.7109375" bestFit="1" customWidth="1"/>
    <col min="19" max="19" width="12.140625" bestFit="1" customWidth="1"/>
  </cols>
  <sheetData>
    <row r="3" spans="3:4" x14ac:dyDescent="0.25">
      <c r="C3" t="s">
        <v>313</v>
      </c>
    </row>
    <row r="5" spans="3:4" x14ac:dyDescent="0.25">
      <c r="C5" t="s">
        <v>317</v>
      </c>
    </row>
    <row r="6" spans="3:4" x14ac:dyDescent="0.25">
      <c r="C6" t="s">
        <v>318</v>
      </c>
    </row>
    <row r="8" spans="3:4" x14ac:dyDescent="0.25">
      <c r="C8" s="12" t="s">
        <v>16</v>
      </c>
      <c r="D8" t="s">
        <v>27</v>
      </c>
    </row>
    <row r="10" spans="3:4" x14ac:dyDescent="0.25">
      <c r="C10" s="12" t="s">
        <v>314</v>
      </c>
      <c r="D10" t="s">
        <v>316</v>
      </c>
    </row>
    <row r="11" spans="3:4" x14ac:dyDescent="0.25">
      <c r="C11" s="13" t="s">
        <v>23</v>
      </c>
      <c r="D11" s="14">
        <v>806</v>
      </c>
    </row>
    <row r="12" spans="3:4" x14ac:dyDescent="0.25">
      <c r="C12" s="13" t="s">
        <v>19</v>
      </c>
      <c r="D12" s="14">
        <v>1502</v>
      </c>
    </row>
    <row r="13" spans="3:4" x14ac:dyDescent="0.25">
      <c r="C13" s="13" t="s">
        <v>315</v>
      </c>
      <c r="D13" s="14">
        <v>2308</v>
      </c>
    </row>
    <row r="16" spans="3:4" x14ac:dyDescent="0.25">
      <c r="C16" t="s">
        <v>321</v>
      </c>
    </row>
    <row r="18" spans="3:6" x14ac:dyDescent="0.25">
      <c r="C18" s="12" t="s">
        <v>16</v>
      </c>
      <c r="D18" t="s">
        <v>27</v>
      </c>
    </row>
    <row r="20" spans="3:6" x14ac:dyDescent="0.25">
      <c r="C20" s="12" t="s">
        <v>314</v>
      </c>
      <c r="D20" t="s">
        <v>320</v>
      </c>
    </row>
    <row r="21" spans="3:6" x14ac:dyDescent="0.25">
      <c r="C21" s="13" t="s">
        <v>22</v>
      </c>
      <c r="D21" s="16">
        <v>0</v>
      </c>
    </row>
    <row r="22" spans="3:6" x14ac:dyDescent="0.25">
      <c r="C22" s="13" t="s">
        <v>26</v>
      </c>
      <c r="D22" s="16">
        <v>0</v>
      </c>
    </row>
    <row r="23" spans="3:6" x14ac:dyDescent="0.25">
      <c r="C23" s="13" t="s">
        <v>18</v>
      </c>
      <c r="D23" s="16">
        <v>990</v>
      </c>
    </row>
    <row r="24" spans="3:6" x14ac:dyDescent="0.25">
      <c r="C24" s="13" t="s">
        <v>315</v>
      </c>
      <c r="D24" s="16">
        <v>990</v>
      </c>
      <c r="F24" s="17">
        <f>GETPIVOTDATA("EA Play Season Pass
Price",$C$20)</f>
        <v>990</v>
      </c>
    </row>
    <row r="27" spans="3:6" x14ac:dyDescent="0.25">
      <c r="C27" t="s">
        <v>322</v>
      </c>
    </row>
    <row r="29" spans="3:6" x14ac:dyDescent="0.25">
      <c r="C29" s="12" t="s">
        <v>16</v>
      </c>
      <c r="D29" t="s">
        <v>27</v>
      </c>
    </row>
    <row r="31" spans="3:6" x14ac:dyDescent="0.25">
      <c r="C31" s="12" t="s">
        <v>314</v>
      </c>
      <c r="D31" t="s">
        <v>323</v>
      </c>
    </row>
    <row r="32" spans="3:6" x14ac:dyDescent="0.25">
      <c r="C32" s="13" t="s">
        <v>22</v>
      </c>
      <c r="D32" s="14">
        <v>0</v>
      </c>
    </row>
    <row r="33" spans="3:6" x14ac:dyDescent="0.25">
      <c r="C33" s="13" t="s">
        <v>26</v>
      </c>
      <c r="D33" s="14">
        <v>480</v>
      </c>
    </row>
    <row r="34" spans="3:6" x14ac:dyDescent="0.25">
      <c r="C34" s="13" t="s">
        <v>18</v>
      </c>
      <c r="D34" s="14">
        <v>660</v>
      </c>
    </row>
    <row r="35" spans="3:6" x14ac:dyDescent="0.25">
      <c r="C35" s="13" t="s">
        <v>315</v>
      </c>
      <c r="D35" s="14">
        <v>1140</v>
      </c>
      <c r="F35" s="17">
        <f>GETPIVOTDATA("Minecraft Season Pass Price",$C$31)</f>
        <v>1140</v>
      </c>
    </row>
  </sheetData>
  <pageMargins left="0.511811024" right="0.511811024" top="0.78740157499999996" bottom="0.78740157499999996" header="0.31496062000000002" footer="0.31496062000000002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O267"/>
  <sheetViews>
    <sheetView showGridLines="0" tabSelected="1" zoomScale="80" zoomScaleNormal="80" workbookViewId="0">
      <selection activeCell="U11" sqref="U11"/>
    </sheetView>
  </sheetViews>
  <sheetFormatPr defaultRowHeight="15" x14ac:dyDescent="0.25"/>
  <cols>
    <col min="1" max="1" width="27.28515625" customWidth="1"/>
    <col min="2" max="2" width="9.28515625" customWidth="1"/>
    <col min="12" max="12" width="6.5703125" customWidth="1"/>
  </cols>
  <sheetData>
    <row r="1" spans="1:67" x14ac:dyDescent="0.25">
      <c r="A1" s="4"/>
    </row>
    <row r="2" spans="1:67" ht="23.25" customHeight="1" thickBot="1" x14ac:dyDescent="0.35">
      <c r="A2" s="4"/>
      <c r="C2" s="15" t="s">
        <v>319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67" ht="15.75" thickTop="1" x14ac:dyDescent="0.25">
      <c r="A3" s="4"/>
    </row>
    <row r="4" spans="1:67" x14ac:dyDescent="0.25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</row>
    <row r="5" spans="1:67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</row>
    <row r="6" spans="1:67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</row>
    <row r="7" spans="1:67" x14ac:dyDescent="0.25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</row>
    <row r="8" spans="1:67" x14ac:dyDescent="0.25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</row>
    <row r="9" spans="1:67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</row>
    <row r="10" spans="1:67" x14ac:dyDescent="0.25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</row>
    <row r="11" spans="1:67" x14ac:dyDescent="0.25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</row>
    <row r="12" spans="1:67" x14ac:dyDescent="0.25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</row>
    <row r="13" spans="1:67" x14ac:dyDescent="0.25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</row>
    <row r="14" spans="1:67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</row>
    <row r="15" spans="1:67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</row>
    <row r="16" spans="1:67" x14ac:dyDescent="0.2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</row>
    <row r="17" spans="1:67" x14ac:dyDescent="0.25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</row>
    <row r="18" spans="1:67" x14ac:dyDescent="0.25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</row>
    <row r="19" spans="1:67" x14ac:dyDescent="0.25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x14ac:dyDescent="0.25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</row>
    <row r="21" spans="1:67" x14ac:dyDescent="0.25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</row>
    <row r="22" spans="1:67" x14ac:dyDescent="0.25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</row>
    <row r="23" spans="1:67" x14ac:dyDescent="0.25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</row>
    <row r="24" spans="1:67" x14ac:dyDescent="0.25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</row>
    <row r="25" spans="1:67" x14ac:dyDescent="0.25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</row>
    <row r="26" spans="1:67" x14ac:dyDescent="0.25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 spans="1:67" x14ac:dyDescent="0.2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</row>
    <row r="28" spans="1:67" x14ac:dyDescent="0.25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</row>
    <row r="29" spans="1:67" x14ac:dyDescent="0.25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</row>
    <row r="30" spans="1:67" x14ac:dyDescent="0.25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 spans="1:67" x14ac:dyDescent="0.25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 spans="1:67" x14ac:dyDescent="0.25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</row>
    <row r="33" spans="1:67" x14ac:dyDescent="0.25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</row>
    <row r="34" spans="1:67" x14ac:dyDescent="0.25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</row>
    <row r="35" spans="1:67" x14ac:dyDescent="0.25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</row>
    <row r="36" spans="1:67" x14ac:dyDescent="0.25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</row>
    <row r="37" spans="1:67" x14ac:dyDescent="0.25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</row>
    <row r="38" spans="1:67" x14ac:dyDescent="0.25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</row>
    <row r="39" spans="1:67" x14ac:dyDescent="0.25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</row>
    <row r="40" spans="1:67" x14ac:dyDescent="0.25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</row>
    <row r="41" spans="1:67" x14ac:dyDescent="0.25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</row>
    <row r="42" spans="1:67" x14ac:dyDescent="0.25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</row>
    <row r="43" spans="1:67" x14ac:dyDescent="0.25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</row>
    <row r="44" spans="1:67" x14ac:dyDescent="0.25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</row>
    <row r="45" spans="1:67" x14ac:dyDescent="0.25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</row>
    <row r="46" spans="1:67" x14ac:dyDescent="0.25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</row>
    <row r="47" spans="1:67" x14ac:dyDescent="0.25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</row>
    <row r="48" spans="1:67" x14ac:dyDescent="0.25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 spans="1:67" x14ac:dyDescent="0.25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</row>
    <row r="50" spans="1:67" x14ac:dyDescent="0.25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</row>
    <row r="51" spans="1:67" x14ac:dyDescent="0.25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</row>
    <row r="52" spans="1:67" x14ac:dyDescent="0.25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</row>
    <row r="53" spans="1:67" x14ac:dyDescent="0.25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</row>
    <row r="54" spans="1:67" x14ac:dyDescent="0.25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</row>
    <row r="55" spans="1:67" x14ac:dyDescent="0.25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</row>
    <row r="56" spans="1:67" x14ac:dyDescent="0.25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</row>
    <row r="57" spans="1:67" x14ac:dyDescent="0.25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</row>
    <row r="58" spans="1:67" x14ac:dyDescent="0.25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</row>
    <row r="59" spans="1:67" x14ac:dyDescent="0.25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</row>
    <row r="60" spans="1:67" x14ac:dyDescent="0.25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</row>
    <row r="61" spans="1:67" x14ac:dyDescent="0.25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5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5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5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</row>
    <row r="65" spans="1:67" x14ac:dyDescent="0.25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</row>
    <row r="66" spans="1:67" x14ac:dyDescent="0.25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</row>
    <row r="67" spans="1:67" x14ac:dyDescent="0.25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</row>
    <row r="68" spans="1:67" x14ac:dyDescent="0.25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</row>
    <row r="69" spans="1:67" x14ac:dyDescent="0.25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</row>
    <row r="70" spans="1:67" x14ac:dyDescent="0.25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</row>
    <row r="71" spans="1:67" x14ac:dyDescent="0.25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</row>
    <row r="72" spans="1:67" x14ac:dyDescent="0.25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</row>
    <row r="73" spans="1:67" x14ac:dyDescent="0.25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</row>
    <row r="74" spans="1:67" x14ac:dyDescent="0.25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 spans="1:67" x14ac:dyDescent="0.25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x14ac:dyDescent="0.25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</row>
    <row r="77" spans="1:67" x14ac:dyDescent="0.25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</row>
    <row r="78" spans="1:67" x14ac:dyDescent="0.25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</row>
    <row r="79" spans="1:67" x14ac:dyDescent="0.25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</row>
    <row r="80" spans="1:67" x14ac:dyDescent="0.25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x14ac:dyDescent="0.25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x14ac:dyDescent="0.25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</row>
    <row r="83" spans="1:67" x14ac:dyDescent="0.25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</row>
    <row r="84" spans="1:67" x14ac:dyDescent="0.25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</row>
    <row r="85" spans="1:67" x14ac:dyDescent="0.25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</row>
    <row r="86" spans="1:67" x14ac:dyDescent="0.25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</row>
    <row r="87" spans="1:67" x14ac:dyDescent="0.25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</row>
    <row r="88" spans="1:67" x14ac:dyDescent="0.25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</row>
    <row r="89" spans="1:67" x14ac:dyDescent="0.25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</row>
    <row r="90" spans="1:67" x14ac:dyDescent="0.25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</row>
    <row r="91" spans="1:67" x14ac:dyDescent="0.25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</row>
    <row r="92" spans="1:67" x14ac:dyDescent="0.25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</row>
    <row r="93" spans="1:67" x14ac:dyDescent="0.25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</row>
    <row r="94" spans="1:67" x14ac:dyDescent="0.25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</row>
    <row r="95" spans="1:67" x14ac:dyDescent="0.25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</row>
    <row r="96" spans="1:67" x14ac:dyDescent="0.25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</row>
    <row r="97" spans="1:67" x14ac:dyDescent="0.25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</row>
    <row r="98" spans="1:67" x14ac:dyDescent="0.25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</row>
    <row r="99" spans="1:67" x14ac:dyDescent="0.25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</row>
    <row r="100" spans="1:67" x14ac:dyDescent="0.25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</row>
    <row r="101" spans="1:67" x14ac:dyDescent="0.25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</row>
    <row r="102" spans="1:67" x14ac:dyDescent="0.25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</row>
    <row r="103" spans="1:67" x14ac:dyDescent="0.25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</row>
    <row r="104" spans="1:67" x14ac:dyDescent="0.25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</row>
    <row r="105" spans="1:67" x14ac:dyDescent="0.25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</row>
    <row r="106" spans="1:67" x14ac:dyDescent="0.25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</row>
    <row r="107" spans="1:67" x14ac:dyDescent="0.25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</row>
    <row r="108" spans="1:67" x14ac:dyDescent="0.25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</row>
    <row r="109" spans="1:67" x14ac:dyDescent="0.25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</row>
    <row r="110" spans="1:67" x14ac:dyDescent="0.25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</row>
    <row r="111" spans="1:67" x14ac:dyDescent="0.25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</row>
    <row r="112" spans="1:67" x14ac:dyDescent="0.25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</row>
    <row r="113" spans="1:67" x14ac:dyDescent="0.25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</row>
    <row r="114" spans="1:67" x14ac:dyDescent="0.25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</row>
    <row r="115" spans="1:67" x14ac:dyDescent="0.25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</row>
    <row r="116" spans="1:67" x14ac:dyDescent="0.25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</row>
    <row r="117" spans="1:67" x14ac:dyDescent="0.25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</row>
    <row r="118" spans="1:67" x14ac:dyDescent="0.25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</row>
    <row r="119" spans="1:67" x14ac:dyDescent="0.25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</row>
    <row r="120" spans="1:67" x14ac:dyDescent="0.25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</row>
    <row r="121" spans="1:67" x14ac:dyDescent="0.25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</row>
    <row r="122" spans="1:67" x14ac:dyDescent="0.25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</row>
    <row r="123" spans="1:67" x14ac:dyDescent="0.25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</row>
    <row r="124" spans="1:67" x14ac:dyDescent="0.25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</row>
    <row r="125" spans="1:67" x14ac:dyDescent="0.25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</row>
    <row r="126" spans="1:67" x14ac:dyDescent="0.25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</row>
    <row r="127" spans="1:67" x14ac:dyDescent="0.25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</row>
    <row r="128" spans="1:67" x14ac:dyDescent="0.25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</row>
    <row r="129" spans="1:67" x14ac:dyDescent="0.25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</row>
    <row r="130" spans="1:67" x14ac:dyDescent="0.25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</row>
    <row r="131" spans="1:67" x14ac:dyDescent="0.25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</row>
    <row r="132" spans="1:67" x14ac:dyDescent="0.25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</row>
    <row r="133" spans="1:67" x14ac:dyDescent="0.25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</row>
    <row r="134" spans="1:67" x14ac:dyDescent="0.25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</row>
    <row r="135" spans="1:67" x14ac:dyDescent="0.25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</row>
    <row r="136" spans="1:67" x14ac:dyDescent="0.25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</row>
    <row r="137" spans="1:67" x14ac:dyDescent="0.25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</row>
    <row r="138" spans="1:67" x14ac:dyDescent="0.25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</row>
    <row r="139" spans="1:67" x14ac:dyDescent="0.25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</row>
    <row r="140" spans="1:67" x14ac:dyDescent="0.25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</row>
    <row r="141" spans="1:67" x14ac:dyDescent="0.25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</row>
    <row r="142" spans="1:67" x14ac:dyDescent="0.25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</row>
    <row r="143" spans="1:67" x14ac:dyDescent="0.25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</row>
    <row r="144" spans="1:67" x14ac:dyDescent="0.25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</row>
    <row r="145" spans="1:67" x14ac:dyDescent="0.25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</row>
    <row r="146" spans="1:67" x14ac:dyDescent="0.25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</row>
    <row r="147" spans="1:67" x14ac:dyDescent="0.25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</row>
    <row r="148" spans="1:67" x14ac:dyDescent="0.25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</row>
    <row r="149" spans="1:67" x14ac:dyDescent="0.25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</row>
    <row r="150" spans="1:67" x14ac:dyDescent="0.25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</row>
    <row r="151" spans="1:67" x14ac:dyDescent="0.25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</row>
    <row r="152" spans="1:67" x14ac:dyDescent="0.25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</row>
    <row r="153" spans="1:67" x14ac:dyDescent="0.25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</row>
    <row r="154" spans="1:67" x14ac:dyDescent="0.25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</row>
    <row r="155" spans="1:67" x14ac:dyDescent="0.25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</row>
    <row r="156" spans="1:67" x14ac:dyDescent="0.25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</row>
    <row r="157" spans="1:67" x14ac:dyDescent="0.25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</row>
    <row r="158" spans="1:67" x14ac:dyDescent="0.25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</row>
    <row r="159" spans="1:67" x14ac:dyDescent="0.25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</row>
    <row r="160" spans="1:67" x14ac:dyDescent="0.25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</row>
    <row r="161" spans="1:67" x14ac:dyDescent="0.25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</row>
    <row r="162" spans="1:67" x14ac:dyDescent="0.25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</row>
    <row r="163" spans="1:67" x14ac:dyDescent="0.25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</row>
    <row r="164" spans="1:67" x14ac:dyDescent="0.25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</row>
    <row r="165" spans="1:67" x14ac:dyDescent="0.25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</row>
    <row r="166" spans="1:67" x14ac:dyDescent="0.25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</row>
    <row r="167" spans="1:67" x14ac:dyDescent="0.25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</row>
    <row r="168" spans="1:67" x14ac:dyDescent="0.25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</row>
    <row r="169" spans="1:67" x14ac:dyDescent="0.25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</row>
    <row r="170" spans="1:67" x14ac:dyDescent="0.25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</row>
    <row r="171" spans="1:67" x14ac:dyDescent="0.25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</row>
    <row r="172" spans="1:67" x14ac:dyDescent="0.25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</row>
    <row r="173" spans="1:67" x14ac:dyDescent="0.25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</row>
    <row r="174" spans="1:67" x14ac:dyDescent="0.25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</row>
    <row r="175" spans="1:67" x14ac:dyDescent="0.25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</row>
    <row r="176" spans="1:67" x14ac:dyDescent="0.25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</row>
    <row r="177" spans="1:67" x14ac:dyDescent="0.25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</row>
    <row r="178" spans="1:67" x14ac:dyDescent="0.25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</row>
    <row r="179" spans="1:67" x14ac:dyDescent="0.25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</row>
    <row r="180" spans="1:67" x14ac:dyDescent="0.25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</row>
    <row r="181" spans="1:67" x14ac:dyDescent="0.25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</row>
    <row r="182" spans="1:67" x14ac:dyDescent="0.25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</row>
    <row r="183" spans="1:67" x14ac:dyDescent="0.25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</row>
    <row r="184" spans="1:67" x14ac:dyDescent="0.25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</row>
    <row r="185" spans="1:67" x14ac:dyDescent="0.25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</row>
    <row r="186" spans="1:67" x14ac:dyDescent="0.25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</row>
    <row r="187" spans="1:67" x14ac:dyDescent="0.25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</row>
    <row r="188" spans="1:67" x14ac:dyDescent="0.25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</row>
    <row r="189" spans="1:67" x14ac:dyDescent="0.25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</row>
    <row r="190" spans="1:67" x14ac:dyDescent="0.25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</row>
    <row r="191" spans="1:67" x14ac:dyDescent="0.25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</row>
    <row r="192" spans="1:67" x14ac:dyDescent="0.25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</row>
    <row r="193" spans="1:67" x14ac:dyDescent="0.25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</row>
    <row r="194" spans="1:67" x14ac:dyDescent="0.25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</row>
    <row r="195" spans="1:67" x14ac:dyDescent="0.25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</row>
    <row r="196" spans="1:67" x14ac:dyDescent="0.25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</row>
    <row r="197" spans="1:67" x14ac:dyDescent="0.25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</row>
    <row r="198" spans="1:67" x14ac:dyDescent="0.25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</row>
    <row r="199" spans="1:67" x14ac:dyDescent="0.25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</row>
    <row r="200" spans="1:67" x14ac:dyDescent="0.25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</row>
    <row r="201" spans="1:67" x14ac:dyDescent="0.25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</row>
    <row r="202" spans="1:67" x14ac:dyDescent="0.25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</row>
    <row r="203" spans="1:67" x14ac:dyDescent="0.25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</row>
    <row r="204" spans="1:67" x14ac:dyDescent="0.25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</row>
    <row r="205" spans="1:67" x14ac:dyDescent="0.25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</row>
    <row r="206" spans="1:67" x14ac:dyDescent="0.25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</row>
    <row r="207" spans="1:67" x14ac:dyDescent="0.25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</row>
    <row r="208" spans="1:67" x14ac:dyDescent="0.25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</row>
    <row r="209" spans="1:67" x14ac:dyDescent="0.25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</row>
    <row r="210" spans="1:67" x14ac:dyDescent="0.25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</row>
    <row r="211" spans="1:67" x14ac:dyDescent="0.25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</row>
    <row r="212" spans="1:67" x14ac:dyDescent="0.25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</row>
    <row r="213" spans="1:67" x14ac:dyDescent="0.25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</row>
    <row r="214" spans="1:67" x14ac:dyDescent="0.25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</row>
    <row r="215" spans="1:67" x14ac:dyDescent="0.25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</row>
    <row r="216" spans="1:67" x14ac:dyDescent="0.25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</row>
    <row r="217" spans="1:67" x14ac:dyDescent="0.25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</row>
    <row r="218" spans="1:67" x14ac:dyDescent="0.25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</row>
    <row r="219" spans="1:67" x14ac:dyDescent="0.25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</row>
    <row r="220" spans="1:67" x14ac:dyDescent="0.25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</row>
    <row r="221" spans="1:67" x14ac:dyDescent="0.25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</row>
    <row r="222" spans="1:67" x14ac:dyDescent="0.25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</row>
    <row r="223" spans="1:67" x14ac:dyDescent="0.25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</row>
    <row r="224" spans="1:67" x14ac:dyDescent="0.25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</row>
    <row r="225" spans="1:67" x14ac:dyDescent="0.25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</row>
    <row r="226" spans="1:67" x14ac:dyDescent="0.25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</row>
    <row r="227" spans="1:67" x14ac:dyDescent="0.25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</row>
    <row r="228" spans="1:67" x14ac:dyDescent="0.25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</row>
    <row r="229" spans="1:67" x14ac:dyDescent="0.25">
      <c r="A229" s="4"/>
    </row>
    <row r="230" spans="1:67" x14ac:dyDescent="0.25">
      <c r="A230" s="4"/>
    </row>
    <row r="231" spans="1:67" x14ac:dyDescent="0.25">
      <c r="A231" s="4"/>
    </row>
    <row r="232" spans="1:67" x14ac:dyDescent="0.25">
      <c r="A232" s="4"/>
    </row>
    <row r="233" spans="1:67" x14ac:dyDescent="0.25">
      <c r="A233" s="4"/>
    </row>
    <row r="234" spans="1:67" x14ac:dyDescent="0.25">
      <c r="A234" s="4"/>
    </row>
    <row r="235" spans="1:67" x14ac:dyDescent="0.25">
      <c r="A235" s="4"/>
    </row>
    <row r="236" spans="1:67" x14ac:dyDescent="0.25">
      <c r="A236" s="4"/>
    </row>
    <row r="237" spans="1:67" x14ac:dyDescent="0.25">
      <c r="A237" s="4"/>
    </row>
    <row r="238" spans="1:67" x14ac:dyDescent="0.25">
      <c r="A238" s="4"/>
    </row>
    <row r="239" spans="1:67" x14ac:dyDescent="0.25">
      <c r="A239" s="4"/>
    </row>
    <row r="240" spans="1:67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Luciano Paiva</cp:lastModifiedBy>
  <dcterms:created xsi:type="dcterms:W3CDTF">2024-12-19T13:13:10Z</dcterms:created>
  <dcterms:modified xsi:type="dcterms:W3CDTF">2026-02-15T01:15:03Z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